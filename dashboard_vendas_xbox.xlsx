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\Downloads\"/>
    </mc:Choice>
  </mc:AlternateContent>
  <xr:revisionPtr revIDLastSave="0" documentId="13_ncr:1_{84D00CBA-092D-4986-9CD0-92F605FDDF1C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" i="3" l="1"/>
  <c r="E22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<sst xmlns="http://schemas.openxmlformats.org/spreadsheetml/2006/main" count="2022" uniqueCount="324">
  <si>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</si>
  <si>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</si>
  <si>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</si>
  <si>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</si>
  <si>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</si>
  <si>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</si>
  <si>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</si>
  <si>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</si>
  <si>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</si>
  <si>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</si>
  <si>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</si>
  <si>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</si>
  <si>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</si>
  <si>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</si>
  <si>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</si>
  <si>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</si>
  <si>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</si>
  <si>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</si>
  <si>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</si>
  <si>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</si>
  <si>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</si>
  <si>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</si>
  <si>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</si>
  <si>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</si>
  <si>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</si>
  <si>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</si>
  <si>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</si>
  <si>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</si>
  <si>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</si>
  <si>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</si>
  <si>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</si>
  <si>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</si>
  <si>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</si>
  <si>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</si>
  <si>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</si>
  <si>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</si>
  <si>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</si>
  <si>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</si>
  <si>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</si>
  <si>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</si>
  <si>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</si>
  <si>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</si>
  <si>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</si>
  <si>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</si>
  <si>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</si>
  <si>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</si>
  <si>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</si>
  <si>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</si>
  <si>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</si>
  <si>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</si>
  <si>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</si>
  <si>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</si>
  <si>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</si>
  <si>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</si>
  <si>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</si>
  <si>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</si>
  <si>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</si>
  <si>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</si>
  <si>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</si>
  <si>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</si>
  <si>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</si>
  <si>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</si>
  <si>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</si>
  <si>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</si>
  <si>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</si>
  <si>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</si>
  <si>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</si>
  <si>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</si>
  <si>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</si>
  <si>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</si>
  <si>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</si>
  <si>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</si>
  <si>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</si>
  <si>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</si>
  <si>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</si>
  <si>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</si>
  <si>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</si>
  <si>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</si>
  <si>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</si>
  <si>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</si>
  <si>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</si>
  <si>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</si>
  <si>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</si>
  <si>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</si>
  <si>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</si>
  <si>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</si>
  <si>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</si>
  <si>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</si>
  <si>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</si>
  <si>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</si>
  <si>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</si>
  <si>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</si>
  <si>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</si>
  <si>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</si>
  <si>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</si>
  <si>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</si>
  <si>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</si>
  <si>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</si>
  <si>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</si>
  <si>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</si>
  <si>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</si>
  <si>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</si>
  <si>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</si>
  <si>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</si>
  <si>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</si>
  <si>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</si>
  <si>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</si>
  <si>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</si>
  <si>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</si>
  <si>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</si>
  <si>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</si>
  <si>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</si>
  <si>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</si>
  <si>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</si>
  <si>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</si>
  <si>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</si>
  <si>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</si>
  <si>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</si>
  <si>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</si>
  <si>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</si>
  <si>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</si>
  <si>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</si>
  <si>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</si>
  <si>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</si>
  <si>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</si>
  <si>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</si>
  <si>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</si>
  <si>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</si>
  <si>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</si>
  <si>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</si>
  <si>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</si>
  <si>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</si>
  <si>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</si>
  <si>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</si>
  <si>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</si>
  <si>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</si>
  <si>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</si>
  <si>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</si>
  <si>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</si>
  <si>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</si>
  <si>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</si>
  <si>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</si>
  <si>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</si>
  <si>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</si>
  <si>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</si>
  <si>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</si>
  <si>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</si>
  <si>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</si>
  <si>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</si>
  <si>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</si>
  <si>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</si>
  <si>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</si>
  <si>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</si>
  <si>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</si>
  <si>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</si>
  <si>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</si>
  <si>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</si>
  <si>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</si>
  <si>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</si>
  <si>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</si>
  <si>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</si>
  <si>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</si>
  <si>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</si>
  <si>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</si>
  <si>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</si>
  <si>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</si>
  <si>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</si>
  <si>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</si>
  <si>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</si>
  <si>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</si>
  <si>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</si>
  <si>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</si>
  <si>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</si>
  <si>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</si>
  <si>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</si>
  <si>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</si>
  <si>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</si>
  <si>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</si>
  <si>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</si>
  <si>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</si>
  <si>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</si>
  <si>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</si>
  <si>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</si>
  <si>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</si>
  <si>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</si>
  <si>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</si>
  <si>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</si>
  <si>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</si>
  <si>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</si>
  <si>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</si>
  <si>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</si>
  <si>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</si>
  <si>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</si>
  <si>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</si>
  <si>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</si>
  <si>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</si>
  <si>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</si>
  <si>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</si>
  <si>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</si>
  <si>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</si>
  <si>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</si>
  <si>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</si>
  <si>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</si>
  <si>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</si>
  <si>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</si>
  <si>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</si>
  <si>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</si>
  <si>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</si>
  <si>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</si>
  <si>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</si>
  <si>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</si>
  <si>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</si>
  <si>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</si>
  <si>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</si>
  <si>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</si>
  <si>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</si>
  <si>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</si>
  <si>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</si>
  <si>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</si>
  <si>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</si>
  <si>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</si>
  <si>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</si>
  <si>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</si>
  <si>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</si>
  <si>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</si>
  <si>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</si>
  <si>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</si>
  <si>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</si>
  <si>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</si>
  <si>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</si>
  <si>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</si>
  <si>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</si>
  <si>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</si>
  <si>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</si>
  <si>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</si>
  <si>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</si>
  <si>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</si>
  <si>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</si>
  <si>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</si>
  <si>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</si>
  <si>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</si>
  <si>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</si>
  <si>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</si>
  <si>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</si>
  <si>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</si>
  <si>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</si>
  <si>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</si>
  <si>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</si>
  <si>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</si>
  <si>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</si>
  <si>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</si>
  <si>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</si>
  <si>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</si>
  <si>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</si>
  <si>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</si>
  <si>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</si>
  <si>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</si>
  <si>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</si>
  <si>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</si>
  <si>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</si>
  <si>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</si>
  <si>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</si>
  <si>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</si>
  <si>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</si>
  <si>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</si>
  <si>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</si>
  <si>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</si>
  <si>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</si>
  <si>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</si>
  <si>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</si>
  <si>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</si>
  <si>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</si>
  <si>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</si>
  <si>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</si>
  <si>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</si>
  <si>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</si>
  <si>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</si>
  <si>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</si>
  <si>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</si>
  <si>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</si>
  <si>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</si>
  <si>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</si>
  <si>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</si>
  <si>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</si>
  <si>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</si>
  <si>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</si>
  <si>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</si>
  <si>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</si>
  <si>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</si>
  <si>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</si>
  <si>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</si>
  <si>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</si>
  <si>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</si>
  <si>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</si>
  <si>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</si>
  <si>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</si>
  <si>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</si>
  <si>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</si>
  <si>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</si>
  <si>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</si>
  <si>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</si>
  <si>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</si>
  <si>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</si>
  <si>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</si>
  <si>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</si>
  <si>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</si>
  <si>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</si>
  <si>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</si>
  <si>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</si>
  <si>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</si>
  <si>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</si>
  <si>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</si>
  <si>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</si>
  <si>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 Qual faturamento Total de Vendas de Planos Anuais (contendo todas as assinaturas agregadas)?</t>
  </si>
  <si>
    <t>Pergunta de Negócio 2 - Qual faturamento Total de Vendas de Planos Anuais, separado por autorenovação e sem autorenovação</t>
  </si>
  <si>
    <t>Rótulos de Linha</t>
  </si>
  <si>
    <t>Total Geral</t>
  </si>
  <si>
    <t>Soma de Total Value</t>
  </si>
  <si>
    <t>Pergunta de Negócio 3 - Total de Vendas de Assinaturas do EA Play</t>
  </si>
  <si>
    <t>Soma de EA Play Season Pass</t>
  </si>
  <si>
    <r>
      <t xml:space="preserve">     </t>
    </r>
    <r>
      <rPr>
        <b/>
        <sz val="15"/>
        <color rgb="FF22C55E"/>
        <rFont val="Segoe UI"/>
        <family val="2"/>
      </rPr>
      <t>XBOX GAME PASS SUBSCRIPTIONS SALES</t>
    </r>
  </si>
  <si>
    <t>Pergunta de Negócio 4 - Total de Vendas de Assinaturas do Minecraft Season Pass</t>
  </si>
  <si>
    <t>Soma de Minecraft Season Pass Price</t>
  </si>
  <si>
    <t>Calculation  period: 01/01/24 - 31/12/24 | Update date: 10/02/26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</si>
</sst>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Aptos Narrow"/>
      <family val="2"/>
      <scheme val="minor"/>
    </font>
    <font>
      <b/>
      <sz val="15"/>
      <color rgb="FF22C55E"/>
      <name val="Segoe UI"/>
      <family val="2"/>
    </font>
    <font>
      <sz val="10"/>
      <color theme="1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1" applyBorder="1"/>
    <xf numFmtId="165" fontId="0" fillId="0" borderId="0" xfId="0" applyNumberFormat="1"/>
    <xf numFmtId="0" fontId="4" fillId="0" borderId="2" xfId="1" applyFont="1" applyBorder="1"/>
    <xf numFmtId="0" fontId="0" fillId="0" borderId="2" xfId="0" applyBorder="1"/>
    <xf numFmtId="0" fontId="5" fillId="0" borderId="2" xfId="1" applyFont="1" applyBorder="1" applyAlignment="1">
      <alignment horizontal="left" indent="5"/>
    </xf>
    <xf numFmtId="0" fontId="7" fillId="7" borderId="0" xfId="0" applyFont="1" applyFill="1"/>
    <xf numFmtId="0" fontId="8" fillId="7" borderId="0" xfId="0" applyFont="1" applyFill="1"/>
  </cellXfs>
  <cellStyles count="3">
    <cellStyle name="Cabeçalho 1" xfId="1" builtinId="16"/>
    <cellStyle name="Moeda" xfId="2" builtinId="4"/>
    <cellStyle name="Normal" xfId="0" builtinId="0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349D299-3DFE-4A8F-90F4-9CE02574EF14}">
      <tableStyleElement type="wholeTable" dxfId="1"/>
      <tableStyleElement type="headerRow" dxfId="0"/>
    </tableStyle>
  </tableStyles>
  <colors>
    <mruColors>
      <color rgb="FF22C55E"/>
      <color rgb="FF2AE6B1"/>
      <color rgb="FF9BC848"/>
      <color rgb="FFE8E6E9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[base(Recuperado Automaticamente).xlsx]C̳álculos!tbl_annual_total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635100431591771E-2"/>
          <c:y val="0.13221784776902887"/>
          <c:w val="0.77677294488125537"/>
          <c:h val="0.765930300379119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2-40EB-A41C-915D60749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7978799"/>
        <c:axId val="997975919"/>
      </c:barChart>
      <c:catAx>
        <c:axId val="99797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7975919"/>
        <c:crosses val="autoZero"/>
        <c:auto val="1"/>
        <c:lblAlgn val="ctr"/>
        <c:lblOffset val="100"/>
        <c:noMultiLvlLbl val="0"/>
      </c:catAx>
      <c:valAx>
        <c:axId val="997975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797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1869282</xdr:colOff>
      <xdr:row>0</xdr:row>
      <xdr:rowOff>142875</xdr:rowOff>
    </xdr:from>
    <xdr:to>
      <xdr:col>2</xdr:col>
      <xdr:colOff>130970</xdr:colOff>
      <xdr:row>2</xdr:row>
      <xdr:rowOff>35719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A5ED5DC-4372-4FC8-B3B9-AF40278353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6" t="20966" r="71534" b="21961"/>
        <a:stretch/>
      </xdr:blipFill>
      <xdr:spPr>
        <a:xfrm>
          <a:off x="1869282" y="142875"/>
          <a:ext cx="654844" cy="583407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11906</xdr:colOff>
      <xdr:row>7</xdr:row>
      <xdr:rowOff>164306</xdr:rowOff>
    </xdr:from>
    <xdr:to>
      <xdr:col>0</xdr:col>
      <xdr:colOff>1840706</xdr:colOff>
      <xdr:row>21</xdr:row>
      <xdr:rowOff>164306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ubscription Type">
              <a:extLst>
                <a:ext uri="{FF2B5EF4-FFF2-40B4-BE49-F238E27FC236}">
                  <a16:creationId xmlns:a16="http://schemas.microsoft.com/office/drawing/2014/main" id="{53FDC9F6-05C0-4D83-AFA8-DCBBE535F2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1700212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285749</xdr:colOff>
      <xdr:row>5</xdr:row>
      <xdr:rowOff>10717</xdr:rowOff>
    </xdr:from>
    <xdr:to>
      <xdr:col>9</xdr:col>
      <xdr:colOff>-1</xdr:colOff>
      <xdr:row>13</xdr:row>
      <xdr:rowOff>98823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18FEB10D-210D-464E-D951-458E74D33135}"/>
            </a:ext>
          </a:extLst>
        </xdr:cNvPr>
        <xdr:cNvGrpSpPr/>
      </xdr:nvGrpSpPr>
      <xdr:grpSpPr>
        <a:xfrm>
          <a:off x="2166937" y="1213248"/>
          <a:ext cx="4476750" cy="1564481"/>
          <a:chOff x="2166937" y="1226344"/>
          <a:chExt cx="4333876" cy="1564481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1E0C2E2B-4545-BA0F-7809-35049C64F617}"/>
              </a:ext>
            </a:extLst>
          </xdr:cNvPr>
          <xdr:cNvSpPr/>
        </xdr:nvSpPr>
        <xdr:spPr>
          <a:xfrm>
            <a:off x="2190750" y="1226344"/>
            <a:ext cx="4310062" cy="150018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000"/>
          </a:p>
        </xdr:txBody>
      </xdr:sp>
      <xdr:sp macro="" textlink="C̳álculos!E22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60D49B16-61EE-4A48-A84D-C48C70FC7C9F}"/>
              </a:ext>
            </a:extLst>
          </xdr:cNvPr>
          <xdr:cNvSpPr/>
        </xdr:nvSpPr>
        <xdr:spPr>
          <a:xfrm>
            <a:off x="3596067" y="1533526"/>
            <a:ext cx="2809875" cy="121681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5702DE4-661F-49CB-A4BF-3C511B5B1636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R$ 600,00</a:t>
            </a:fld>
            <a:endParaRPr lang="en-US" sz="80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2543E938-EC44-46D3-9EC9-91352F23C0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6588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B200FB68-7D0D-3C2B-BC15-1742DA9B5C67}"/>
              </a:ext>
            </a:extLst>
          </xdr:cNvPr>
          <xdr:cNvSpPr/>
        </xdr:nvSpPr>
        <xdr:spPr>
          <a:xfrm>
            <a:off x="2166937" y="1226345"/>
            <a:ext cx="4333876" cy="488156"/>
          </a:xfrm>
          <a:prstGeom prst="round2SameRect">
            <a:avLst>
              <a:gd name="adj1" fmla="val 50000"/>
              <a:gd name="adj2" fmla="val 9091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</a:t>
            </a:r>
            <a:r>
              <a:rPr lang="pt-BR" sz="105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PLAY SEASON PASS</a:t>
            </a:r>
            <a:endParaRPr lang="pt-BR" sz="105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284153</xdr:colOff>
      <xdr:row>5</xdr:row>
      <xdr:rowOff>10717</xdr:rowOff>
    </xdr:from>
    <xdr:to>
      <xdr:col>17</xdr:col>
      <xdr:colOff>80962</xdr:colOff>
      <xdr:row>13</xdr:row>
      <xdr:rowOff>70248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0630852B-2A4B-55EE-A2F6-20A95680811A}"/>
            </a:ext>
          </a:extLst>
        </xdr:cNvPr>
        <xdr:cNvGrpSpPr/>
      </xdr:nvGrpSpPr>
      <xdr:grpSpPr>
        <a:xfrm>
          <a:off x="6927841" y="1213248"/>
          <a:ext cx="4487871" cy="1535906"/>
          <a:chOff x="6927841" y="1200151"/>
          <a:chExt cx="4487871" cy="1535906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48EE66CF-73B3-4576-A890-8249B776C7D9}"/>
              </a:ext>
            </a:extLst>
          </xdr:cNvPr>
          <xdr:cNvGrpSpPr/>
        </xdr:nvGrpSpPr>
        <xdr:grpSpPr>
          <a:xfrm>
            <a:off x="6927841" y="1200151"/>
            <a:ext cx="4487871" cy="1535906"/>
            <a:chOff x="2156171" y="1214438"/>
            <a:chExt cx="4344642" cy="1535906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446C3C9A-0089-9654-15B1-52CC206187A1}"/>
                </a:ext>
              </a:extLst>
            </xdr:cNvPr>
            <xdr:cNvSpPr/>
          </xdr:nvSpPr>
          <xdr:spPr>
            <a:xfrm>
              <a:off x="2156171" y="1214438"/>
              <a:ext cx="4310062" cy="1500187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000"/>
            </a:p>
          </xdr:txBody>
        </xdr:sp>
        <xdr:sp macro="" textlink="C̳álculos!E32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3987F717-3312-79A5-EF0B-E61E886D3316}"/>
                </a:ext>
              </a:extLst>
            </xdr:cNvPr>
            <xdr:cNvSpPr/>
          </xdr:nvSpPr>
          <xdr:spPr>
            <a:xfrm>
              <a:off x="3596067" y="1533526"/>
              <a:ext cx="2809875" cy="1216818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8BDE1A1-B2A9-41D9-B202-32E4A76E0BED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R$ 940,00</a:t>
              </a:fld>
              <a:endParaRPr lang="en-US" sz="3600" b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21E92910-E20C-B99B-390D-BE2A01D9B565}"/>
                </a:ext>
              </a:extLst>
            </xdr:cNvPr>
            <xdr:cNvSpPr/>
          </xdr:nvSpPr>
          <xdr:spPr>
            <a:xfrm>
              <a:off x="2166937" y="1226345"/>
              <a:ext cx="4333876" cy="488156"/>
            </a:xfrm>
            <a:prstGeom prst="round2SameRect">
              <a:avLst>
                <a:gd name="adj1" fmla="val 50000"/>
                <a:gd name="adj2" fmla="val 9091"/>
              </a:avLst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5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05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  <a:endParaRPr lang="pt-BR" sz="105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0A081375-4235-4405-A8C5-B9C06E7F77B9}"/>
              </a:ext>
            </a:extLst>
          </xdr:cNvPr>
          <xdr:cNvGrpSpPr/>
        </xdr:nvGrpSpPr>
        <xdr:grpSpPr>
          <a:xfrm>
            <a:off x="7224712" y="1795463"/>
            <a:ext cx="1145382" cy="633412"/>
            <a:chOff x="3495675" y="5400674"/>
            <a:chExt cx="1549476" cy="752476"/>
          </a:xfrm>
        </xdr:grpSpPr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69BE6804-D504-2640-F4D5-783C7CBC956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1" name="Gráfico 30">
              <a:extLst>
                <a:ext uri="{FF2B5EF4-FFF2-40B4-BE49-F238E27FC236}">
                  <a16:creationId xmlns:a16="http://schemas.microsoft.com/office/drawing/2014/main" id="{1B0CB1B5-9D44-C257-CCF7-8DF3289336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321469</xdr:colOff>
      <xdr:row>14</xdr:row>
      <xdr:rowOff>23811</xdr:rowOff>
    </xdr:from>
    <xdr:to>
      <xdr:col>17</xdr:col>
      <xdr:colOff>119062</xdr:colOff>
      <xdr:row>29</xdr:row>
      <xdr:rowOff>111917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821C0B3B-7471-E762-FB80-4E0F8CB0436C}"/>
            </a:ext>
          </a:extLst>
        </xdr:cNvPr>
        <xdr:cNvGrpSpPr/>
      </xdr:nvGrpSpPr>
      <xdr:grpSpPr>
        <a:xfrm>
          <a:off x="2202657" y="2893217"/>
          <a:ext cx="9251155" cy="2945606"/>
          <a:chOff x="1940719" y="2845592"/>
          <a:chExt cx="9572626" cy="2945606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8169EBE-2855-9671-6A95-72CBA29EFDDD}"/>
              </a:ext>
            </a:extLst>
          </xdr:cNvPr>
          <xdr:cNvGrpSpPr/>
        </xdr:nvGrpSpPr>
        <xdr:grpSpPr>
          <a:xfrm>
            <a:off x="1976436" y="2857499"/>
            <a:ext cx="9513095" cy="2933699"/>
            <a:chOff x="2329035" y="1428750"/>
            <a:chExt cx="5214937" cy="2933699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CBB020E0-A285-D475-AE02-4EBDF08B1913}"/>
                </a:ext>
              </a:extLst>
            </xdr:cNvPr>
            <xdr:cNvSpPr/>
          </xdr:nvSpPr>
          <xdr:spPr>
            <a:xfrm>
              <a:off x="2329035" y="1428750"/>
              <a:ext cx="5214937" cy="2678905"/>
            </a:xfrm>
            <a:prstGeom prst="roundRect">
              <a:avLst>
                <a:gd name="adj" fmla="val 585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513CE69A-1F82-47BB-8109-7C88D142285C}"/>
                </a:ext>
              </a:extLst>
            </xdr:cNvPr>
            <xdr:cNvGraphicFramePr>
              <a:graphicFrameLocks/>
            </xdr:cNvGraphicFramePr>
          </xdr:nvGraphicFramePr>
          <xdr:xfrm>
            <a:off x="2495169" y="1619249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48A8CBB9-64F6-4504-9C2A-B2A558B0A18E}"/>
              </a:ext>
            </a:extLst>
          </xdr:cNvPr>
          <xdr:cNvSpPr/>
        </xdr:nvSpPr>
        <xdr:spPr>
          <a:xfrm>
            <a:off x="1940719" y="2845592"/>
            <a:ext cx="9572626" cy="488156"/>
          </a:xfrm>
          <a:prstGeom prst="round2SameRect">
            <a:avLst>
              <a:gd name="adj1" fmla="val 50000"/>
              <a:gd name="adj2" fmla="val 9091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05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05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535782</xdr:colOff>
      <xdr:row>1</xdr:row>
      <xdr:rowOff>297657</xdr:rowOff>
    </xdr:from>
    <xdr:to>
      <xdr:col>0</xdr:col>
      <xdr:colOff>1231107</xdr:colOff>
      <xdr:row>4</xdr:row>
      <xdr:rowOff>159544</xdr:rowOff>
    </xdr:to>
    <xdr:sp macro="" textlink="">
      <xdr:nvSpPr>
        <xdr:cNvPr id="36" name="Elipse 8">
          <a:extLst>
            <a:ext uri="{FF2B5EF4-FFF2-40B4-BE49-F238E27FC236}">
              <a16:creationId xmlns:a16="http://schemas.microsoft.com/office/drawing/2014/main" id="{0AE20595-5BFD-4261-AEC6-111FF1CF05F0}"/>
            </a:ext>
          </a:extLst>
        </xdr:cNvPr>
        <xdr:cNvSpPr/>
      </xdr:nvSpPr>
      <xdr:spPr>
        <a:xfrm>
          <a:off x="535782" y="50006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11907</xdr:colOff>
      <xdr:row>5</xdr:row>
      <xdr:rowOff>71438</xdr:rowOff>
    </xdr:from>
    <xdr:to>
      <xdr:col>0</xdr:col>
      <xdr:colOff>1714500</xdr:colOff>
      <xdr:row>7</xdr:row>
      <xdr:rowOff>142876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AEE80313-D200-4AE8-3B28-9DD6D7255130}"/>
            </a:ext>
          </a:extLst>
        </xdr:cNvPr>
        <xdr:cNvSpPr/>
      </xdr:nvSpPr>
      <xdr:spPr>
        <a:xfrm>
          <a:off x="11907" y="1273969"/>
          <a:ext cx="1702593" cy="4048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-VINDA. ODETTE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ssa Heringer" refreshedDate="46059.669286805554" createdVersion="8" refreshedVersion="8" minRefreshableVersion="3" recordCount="295" xr:uid="{AB150244-E1B2-4812-A3DF-68BE937AEF8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253383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AB4AC-F111-4BAC-A3E1-FBBE77361A1E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F6BB5-0F00-40DD-AD62-B41D60485B18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72C04-3995-49E5-8A06-5223C9EFE876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D1A534D-902F-43F4-AE30-F1E13F1BB4C4}" sourceName="Subscription Type">
  <pivotTables>
    <pivotTable tabId="3" name="tbl_annual_total"/>
    <pivotTable tabId="3" name="tbl_easeasonpass_total"/>
    <pivotTable tabId="3" name="Tabela Dinâmica3"/>
  </pivotTables>
  <data>
    <tabular pivotCacheId="92533837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5643399-55EF-4EA3-ADD1-4126F642D80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M23" sqref="M2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M23" sqref="M2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36"/>
  <sheetViews>
    <sheetView showGridLines="0" topLeftCell="A22" workbookViewId="0">
      <selection activeCell="M23" sqref="M2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2.1406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t="s">
        <v>313</v>
      </c>
    </row>
    <row r="7" spans="2:3" x14ac:dyDescent="0.25">
      <c r="B7" t="s">
        <v>314</v>
      </c>
    </row>
    <row r="9" spans="2:3" x14ac:dyDescent="0.25">
      <c r="B9" s="12" t="s">
        <v>16</v>
      </c>
      <c r="C9" t="s">
        <v>24</v>
      </c>
    </row>
    <row r="11" spans="2:3" x14ac:dyDescent="0.25">
      <c r="B11" s="12" t="s">
        <v>315</v>
      </c>
      <c r="C11" t="s">
        <v>317</v>
      </c>
    </row>
    <row r="12" spans="2:3" x14ac:dyDescent="0.25">
      <c r="B12" s="13" t="s">
        <v>23</v>
      </c>
      <c r="C12" s="14">
        <v>217</v>
      </c>
    </row>
    <row r="13" spans="2:3" x14ac:dyDescent="0.25">
      <c r="B13" s="13" t="s">
        <v>19</v>
      </c>
      <c r="C13" s="14">
        <v>1537</v>
      </c>
    </row>
    <row r="14" spans="2:3" x14ac:dyDescent="0.25">
      <c r="B14" s="13" t="s">
        <v>316</v>
      </c>
      <c r="C14" s="14">
        <v>1754</v>
      </c>
    </row>
    <row r="17" spans="2:5" x14ac:dyDescent="0.25">
      <c r="B17" s="13" t="s">
        <v>318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315</v>
      </c>
      <c r="C21" t="s">
        <v>319</v>
      </c>
    </row>
    <row r="22" spans="2:5" x14ac:dyDescent="0.25">
      <c r="B22" s="13" t="s">
        <v>22</v>
      </c>
      <c r="C22" s="14">
        <v>0</v>
      </c>
      <c r="E22" s="16">
        <f>GETPIVOTDATA("EA Play Season Pass
Price",$B$21)</f>
        <v>600</v>
      </c>
    </row>
    <row r="23" spans="2:5" x14ac:dyDescent="0.25">
      <c r="B23" s="13" t="s">
        <v>26</v>
      </c>
      <c r="C23" s="14">
        <v>0</v>
      </c>
    </row>
    <row r="24" spans="2:5" x14ac:dyDescent="0.25">
      <c r="B24" s="13" t="s">
        <v>18</v>
      </c>
      <c r="C24" s="14">
        <v>600</v>
      </c>
    </row>
    <row r="25" spans="2:5" x14ac:dyDescent="0.25">
      <c r="B25" s="13" t="s">
        <v>316</v>
      </c>
      <c r="C25" s="14">
        <v>600</v>
      </c>
    </row>
    <row r="28" spans="2:5" x14ac:dyDescent="0.25">
      <c r="B28" s="13" t="s">
        <v>321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315</v>
      </c>
      <c r="C32" t="s">
        <v>322</v>
      </c>
      <c r="E32" s="16">
        <f>GETPIVOTDATA("Minecraft Season Pass Price",$B$32)</f>
        <v>940</v>
      </c>
    </row>
    <row r="33" spans="2:3" x14ac:dyDescent="0.25">
      <c r="B33" s="13" t="s">
        <v>22</v>
      </c>
      <c r="C33" s="14">
        <v>0</v>
      </c>
    </row>
    <row r="34" spans="2:3" x14ac:dyDescent="0.25">
      <c r="B34" s="13" t="s">
        <v>26</v>
      </c>
      <c r="C34" s="14">
        <v>540</v>
      </c>
    </row>
    <row r="35" spans="2:3" x14ac:dyDescent="0.25">
      <c r="B35" s="13" t="s">
        <v>18</v>
      </c>
      <c r="C35" s="14">
        <v>400</v>
      </c>
    </row>
    <row r="36" spans="2:3" x14ac:dyDescent="0.25">
      <c r="B36" s="13" t="s">
        <v>316</v>
      </c>
      <c r="C36" s="14"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71"/>
  <sheetViews>
    <sheetView showGridLines="0" showRowColHeaders="0" tabSelected="1" zoomScale="80" zoomScaleNormal="80" workbookViewId="0">
      <selection activeCell="K33" sqref="K33"/>
    </sheetView>
  </sheetViews>
  <sheetFormatPr defaultRowHeight="15" x14ac:dyDescent="0.25"/>
  <cols>
    <col min="1" max="1" width="28.28515625" style="5" customWidth="1"/>
    <col min="2" max="2" width="7.7109375" customWidth="1"/>
    <col min="12" max="12" width="6.5703125" customWidth="1"/>
  </cols>
  <sheetData>
    <row r="1" spans="2:26" ht="15.75" customHeight="1" x14ac:dyDescent="0.25"/>
    <row r="2" spans="2:26" ht="38.25" customHeight="1" thickBot="1" x14ac:dyDescent="0.5">
      <c r="B2" s="19" t="s">
        <v>320</v>
      </c>
      <c r="C2" s="15"/>
      <c r="D2" s="17"/>
      <c r="E2" s="15"/>
      <c r="F2" s="15"/>
      <c r="G2" s="15"/>
      <c r="H2" s="15"/>
      <c r="I2" s="18"/>
      <c r="J2" s="18"/>
      <c r="K2" s="18"/>
      <c r="L2" s="18"/>
      <c r="M2" s="18"/>
      <c r="N2" s="18"/>
      <c r="O2" s="18"/>
      <c r="P2" s="18"/>
      <c r="Q2" s="18"/>
    </row>
    <row r="3" spans="2:26" ht="14.25" customHeight="1" thickTop="1" x14ac:dyDescent="0.25"/>
    <row r="4" spans="2:26" ht="13.5" customHeight="1" x14ac:dyDescent="0.25"/>
    <row r="5" spans="2:26" ht="12.7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1"/>
      <c r="S5" s="7"/>
      <c r="T5" s="7"/>
      <c r="U5" s="7"/>
      <c r="V5" s="7"/>
      <c r="W5" s="7"/>
      <c r="X5" s="7"/>
      <c r="Y5" s="7"/>
      <c r="Z5" s="7"/>
    </row>
    <row r="6" spans="2:26" ht="13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13.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20"/>
      <c r="T7" s="7"/>
      <c r="U7" s="7"/>
      <c r="V7" s="7"/>
      <c r="W7" s="7"/>
      <c r="X7" s="7"/>
      <c r="Y7" s="7"/>
      <c r="Z7" s="7"/>
    </row>
    <row r="8" spans="2:26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x14ac:dyDescent="0.25">
      <c r="B31" s="7"/>
      <c r="C31" s="21" t="s">
        <v>323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Melissa Heringer</cp:lastModifiedBy>
  <dcterms:created xsi:type="dcterms:W3CDTF">2024-12-19T13:13:10Z</dcterms:created>
  <dcterms:modified xsi:type="dcterms:W3CDTF">2026-02-10T22:18:01Z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